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sanna balaji\Downloads\"/>
    </mc:Choice>
  </mc:AlternateContent>
  <xr:revisionPtr revIDLastSave="0" documentId="8_{3F60E811-019F-49CA-B3CF-0DE30F1FF37F}" xr6:coauthVersionLast="47" xr6:coauthVersionMax="47" xr10:uidLastSave="{00000000-0000-0000-0000-000000000000}"/>
  <bookViews>
    <workbookView xWindow="-108" yWindow="-108" windowWidth="23256" windowHeight="12456" xr2:uid="{C62A870F-59FB-4776-BF50-9A95FCAB653B}"/>
  </bookViews>
  <sheets>
    <sheet name="Dataset" sheetId="3" r:id="rId1"/>
    <sheet name="Sheet1" sheetId="1" r:id="rId2"/>
  </sheets>
  <definedNames>
    <definedName name="ExternalData_1" localSheetId="0" hidden="1">Dataset!$A$1:$J$33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P3" i="3"/>
  <c r="P2" i="3"/>
  <c r="I17" i="3"/>
  <c r="I26" i="3"/>
  <c r="I7" i="3"/>
  <c r="I22" i="3"/>
  <c r="I2" i="3"/>
  <c r="I12" i="3"/>
  <c r="I32" i="3"/>
  <c r="I3" i="3"/>
  <c r="I30" i="3"/>
  <c r="I15" i="3"/>
  <c r="I18" i="3"/>
  <c r="I27" i="3"/>
  <c r="I8" i="3"/>
  <c r="I24" i="3"/>
  <c r="I13" i="3"/>
  <c r="I20" i="3"/>
  <c r="I25" i="3"/>
  <c r="I19" i="3"/>
  <c r="I28" i="3"/>
  <c r="I6" i="3"/>
  <c r="I5" i="3"/>
  <c r="I21" i="3"/>
  <c r="I10" i="3"/>
  <c r="I23" i="3"/>
  <c r="I29" i="3"/>
  <c r="I4" i="3"/>
  <c r="I14" i="3"/>
  <c r="I9" i="3"/>
  <c r="I31" i="3"/>
  <c r="I11" i="3"/>
  <c r="I16" i="3"/>
  <c r="I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83915-E5B2-4FFD-82F5-D94DC53338A2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C0959293-027F-4D9A-8C38-4B354E3A7727}" keepAlive="1" name="Query - Excel Assignment 1 - Data Exploration (2) xlsx" description="Connection to the 'Excel Assignment 1 - Data Exploration (2) xlsx' query in the workbook." type="5" refreshedVersion="0" background="1">
    <dbPr connection="Provider=Microsoft.Mashup.OleDb.1;Data Source=$Workbook$;Location=&quot;Excel Assignment 1 - Data Exploration (2) xlsx&quot;;Extended Properties=&quot;&quot;" command="SELECT * FROM [Excel Assignment 1 - Data Exploration (2) xlsx]"/>
  </connection>
</connections>
</file>

<file path=xl/sharedStrings.xml><?xml version="1.0" encoding="utf-8"?>
<sst xmlns="http://schemas.openxmlformats.org/spreadsheetml/2006/main" count="172" uniqueCount="129">
  <si>
    <t>BRAND NAME</t>
  </si>
  <si>
    <t>PRICE RS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</si>
  <si>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</si>
  <si>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</si>
  <si>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</si>
  <si>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</si>
  <si>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</si>
  <si>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</si>
  <si>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</si>
  <si>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</si>
  <si>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</si>
  <si>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</si>
  <si>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</si>
  <si>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</si>
  <si>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</si>
  <si>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</si>
  <si>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</si>
  <si>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</si>
  <si>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</si>
  <si>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</si>
  <si>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</si>
  <si>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</si>
  <si>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</si>
  <si>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</si>
  <si>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</si>
  <si>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</si>
  <si>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</si>
  <si>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</si>
  <si>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</si>
  <si>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</si>
  <si>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</si>
  <si>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</si>
  <si>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</si>
  <si>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</si>
  <si>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</si>
  <si>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</si>
  <si>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</si>
  <si>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</si>
  <si>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</si>
  <si>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</si>
  <si>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</si>
  <si>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</si>
  <si>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</si>
  <si>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</si>
  <si>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</si>
  <si>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</si>
  <si>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</si>
  <si>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</si>
  <si>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</si>
  <si>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</si>
  <si>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</si>
  <si>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</si>
  <si>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</si>
  <si>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</si>
  <si>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</si>
  <si>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</si>
  <si>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</si>
  <si>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</si>
  <si>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</si>
  <si>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</si>
  <si>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</si>
  <si>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</si>
  <si>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</si>
  <si>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</si>
  <si>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</si>
  <si>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</si>
  <si>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</si>
  <si>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</si>
  <si>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</si>
  <si>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</si>
  <si>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</si>
  <si>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</si>
  <si>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</si>
  <si>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</si>
  <si>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</si>
  <si>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</si>
  <si>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</si>
  <si>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</si>
  <si>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</si>
  <si>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</si>
  <si>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</si>
  <si>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</si>
  <si>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</si>
  <si>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</si>
  <si>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</si>
  <si>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</si>
  <si>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</si>
  <si>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</si>
  <si>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</si>
  <si>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</si>
  <si>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</si>
  <si>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 .NO</t>
  </si>
  <si>
    <t>REMOVED NULL COLUMNS AND ROW</t>
  </si>
  <si>
    <t xml:space="preserve">TRIM, PROPER CASE USED </t>
  </si>
  <si>
    <t xml:space="preserve">REMOVED DUPLICATES </t>
  </si>
  <si>
    <t>PRODUCT ID</t>
  </si>
  <si>
    <t>PRODUCT NAME</t>
  </si>
  <si>
    <t>TASKS</t>
  </si>
  <si>
    <t>S.NO</t>
  </si>
  <si>
    <t xml:space="preserve">TOTAL PRICE </t>
  </si>
  <si>
    <t xml:space="preserve">HANDLING MISSINGS VALUES </t>
  </si>
  <si>
    <t xml:space="preserve">COUNTRY CODE </t>
  </si>
  <si>
    <t xml:space="preserve">CORRECTING INCONSISTENT DATA </t>
  </si>
  <si>
    <t xml:space="preserve">NO INCONSISTENT DATA </t>
  </si>
  <si>
    <t>NO</t>
  </si>
  <si>
    <t>ROWS 16 &amp; 24</t>
  </si>
  <si>
    <t>ROWS 11 &amp; 33</t>
  </si>
  <si>
    <t>REMOVING DUPLICATES</t>
  </si>
  <si>
    <t xml:space="preserve">SUMMARY </t>
  </si>
  <si>
    <t>FORMULAS &amp; FINDINGS</t>
  </si>
  <si>
    <t>MANUFACTURING DATE</t>
  </si>
  <si>
    <t xml:space="preserve">SPLITTED INTO TWO COLUMNS - MANUFACTORING DATE AND COUNTRY CODE </t>
  </si>
  <si>
    <t>RIGHT(A2,2) AND LEFT(A2,6)</t>
  </si>
  <si>
    <t>PRODUCT BRAND</t>
  </si>
  <si>
    <t>MERGED TWO PRODUCT NAME AND BRAND NAME INTO ONE ( PRODUCT BRAND )COLUMNS</t>
  </si>
  <si>
    <t>CONCATENATE (D2," ",E2)</t>
  </si>
  <si>
    <t xml:space="preserve">NUMBER FORMATTING </t>
  </si>
  <si>
    <t>1)FOUND DUPLICATE ENTRIES APPEARS TWICE IN ROWS AND REMOVED THE SAME .</t>
  </si>
  <si>
    <t>2)I KEPT BOTH ROWS 15 AND 28 , WHICH IS DIFFER IN PRICE RANGE</t>
  </si>
  <si>
    <t>1)THERE IS NO MISSING VALUES IN PRICE COLUMNS</t>
  </si>
  <si>
    <t>1)NO MISSING VALUES IN CATEGORY COLUMNS ALSO</t>
  </si>
  <si>
    <t xml:space="preserve">1)SPLITTING  DATA </t>
  </si>
  <si>
    <t>2)MERGING DATA</t>
  </si>
  <si>
    <t>1)CHANGED PRICE COLUMN TO A CURRENCY FORMAT</t>
  </si>
  <si>
    <t>2)CHANGED IN DATE FORMAT BUT YEAR IS MISSING IN THAT DATASET</t>
  </si>
  <si>
    <t xml:space="preserve">CONDITIONAL FORMATTING </t>
  </si>
  <si>
    <t>APPLIED DATA BAR FORMATTING IN PRICE COLUMNS</t>
  </si>
  <si>
    <t>CREATED NEW RULE IN CATEGORY COLUMNS, WHICH IS HIGHLIGHTED " ELECTRONICS":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</si>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</sst>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"/>
    <numFmt numFmtId="170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/>
    <xf numFmtId="168" fontId="0" fillId="0" borderId="4" xfId="0" applyNumberFormat="1" applyBorder="1" applyAlignment="1">
      <alignment horizontal="right" vertical="center" indent="1"/>
    </xf>
    <xf numFmtId="168" fontId="0" fillId="0" borderId="6" xfId="0" applyNumberFormat="1" applyBorder="1" applyAlignment="1">
      <alignment horizontal="right" vertical="center" indent="1"/>
    </xf>
    <xf numFmtId="168" fontId="0" fillId="0" borderId="9" xfId="0" applyNumberFormat="1" applyBorder="1" applyAlignment="1">
      <alignment horizontal="right" vertical="center" indent="1"/>
    </xf>
    <xf numFmtId="168" fontId="0" fillId="0" borderId="0" xfId="0" applyNumberFormat="1" applyAlignment="1">
      <alignment horizontal="right" indent="1"/>
    </xf>
    <xf numFmtId="168" fontId="0" fillId="0" borderId="3" xfId="0" applyNumberFormat="1" applyBorder="1" applyAlignment="1">
      <alignment horizontal="right" vertical="center" indent="1"/>
    </xf>
    <xf numFmtId="168" fontId="0" fillId="0" borderId="1" xfId="0" applyNumberFormat="1" applyBorder="1" applyAlignment="1">
      <alignment horizontal="right" vertical="center" indent="1"/>
    </xf>
    <xf numFmtId="168" fontId="0" fillId="0" borderId="8" xfId="0" applyNumberFormat="1" applyBorder="1" applyAlignment="1">
      <alignment horizontal="right" vertical="center" indent="1"/>
    </xf>
    <xf numFmtId="170" fontId="0" fillId="0" borderId="2" xfId="0" applyNumberFormat="1" applyBorder="1" applyAlignment="1">
      <alignment horizontal="center" vertical="center"/>
    </xf>
    <xf numFmtId="170" fontId="0" fillId="0" borderId="5" xfId="0" applyNumberFormat="1" applyBorder="1" applyAlignment="1">
      <alignment horizontal="center" vertical="center"/>
    </xf>
    <xf numFmtId="170" fontId="0" fillId="0" borderId="7" xfId="0" applyNumberFormat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left" vertical="center"/>
    </xf>
    <xf numFmtId="170" fontId="0" fillId="0" borderId="1" xfId="0" applyNumberFormat="1" applyBorder="1" applyAlignment="1">
      <alignment horizontal="left" vertical="center"/>
    </xf>
    <xf numFmtId="17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numFmt numFmtId="170" formatCode="[$-14009]dd/mm/yy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&quot;₹&quot;\ #,##0"/>
      <alignment horizontal="righ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&quot;₹&quot;\ #,##0"/>
      <alignment horizontal="right" vertical="center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E3023C-C927-4539-8160-1A68912CF684}" autoFormatId="16" applyNumberFormats="0" applyBorderFormats="0" applyFontFormats="0" applyPatternFormats="0" applyAlignmentFormats="0" applyWidthHeightFormats="0">
  <queryTableRefresh nextId="12">
    <queryTableFields count="10">
      <queryTableField id="1" name="PRODUCTS ID" tableColumnId="1"/>
      <queryTableField id="10" dataBound="0" tableColumnId="9"/>
      <queryTableField id="9" dataBound="0" tableColumnId="8"/>
      <queryTableField id="2" name="PRODUCTS NAME" tableColumnId="2"/>
      <queryTableField id="3" name="BRAND NAME" tableColumnId="3"/>
      <queryTableField id="11" dataBound="0" tableColumnId="10"/>
      <queryTableField id="4" name="PRICE RS" tableColumnId="4"/>
      <queryTableField id="5" name="QUANTITY" tableColumnId="5"/>
      <queryTableField id="8" dataBound="0" tableColumnId="7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78DEB-E7F6-4227-BD10-F4B1FC996BA4}" name="Dataset" displayName="Dataset" ref="A1:J33" tableType="queryTable" totalsRowShown="0" headerRowDxfId="17" dataDxfId="15" headerRowBorderDxfId="16" tableBorderDxfId="14" totalsRowBorderDxfId="13">
  <autoFilter ref="A1:J33" xr:uid="{6E278DEB-E7F6-4227-BD10-F4B1FC996BA4}"/>
  <sortState xmlns:xlrd2="http://schemas.microsoft.com/office/spreadsheetml/2017/richdata2" ref="A2:J33">
    <sortCondition ref="D1:D33"/>
  </sortState>
  <tableColumns count="10">
    <tableColumn id="1" xr3:uid="{6A1B0823-ABED-4F8D-BCA2-253C856A552E}" uniqueName="1" name="PRODUCT ID" queryTableFieldId="1" dataDxfId="12"/>
    <tableColumn id="9" xr3:uid="{6B06C231-4AF0-4EF7-8F4D-59474167588F}" uniqueName="9" name="MANUFACTURING DATE" queryTableFieldId="10" dataDxfId="3">
      <calculatedColumnFormula>LEFT(A2,6)</calculatedColumnFormula>
    </tableColumn>
    <tableColumn id="8" xr3:uid="{7977D409-BF92-45E9-B077-F3C3CE0FF3B8}" uniqueName="8" name="COUNTRY CODE " queryTableFieldId="9" dataDxfId="9">
      <calculatedColumnFormula>RIGHT(A2,2)</calculatedColumnFormula>
    </tableColumn>
    <tableColumn id="2" xr3:uid="{EED9A064-80FB-47A5-A7CD-88FCB53DDD09}" uniqueName="2" name="PRODUCT NAME" queryTableFieldId="2" dataDxfId="11"/>
    <tableColumn id="3" xr3:uid="{8D58451F-5EB5-493F-BACA-192C57B15261}" uniqueName="3" name="BRAND NAME" queryTableFieldId="3" dataDxfId="10"/>
    <tableColumn id="10" xr3:uid="{B5C19F3A-605C-4BC6-919C-E42C795A66B5}" uniqueName="10" name="PRODUCT BRAND" queryTableFieldId="11" dataDxfId="6">
      <calculatedColumnFormula>CONCATENATE(D2," ",E2)</calculatedColumnFormula>
    </tableColumn>
    <tableColumn id="4" xr3:uid="{ABDB6E99-EF96-48D4-9F35-3C0CD103A2DE}" uniqueName="4" name="PRICE RS" queryTableFieldId="4" dataDxfId="4"/>
    <tableColumn id="5" xr3:uid="{D2B27DE6-0EFF-4198-A2C3-220A48DBEE9E}" uniqueName="5" name="QUANTITY" queryTableFieldId="5" dataDxfId="5"/>
    <tableColumn id="7" xr3:uid="{7403580F-35EB-4643-B9FA-BE1FF29D152D}" uniqueName="7" name="TOTAL PRICE " queryTableFieldId="8" dataDxfId="7">
      <calculatedColumnFormula>G2*H2</calculatedColumnFormula>
    </tableColumn>
    <tableColumn id="6" xr3:uid="{E4BA0164-9932-4F53-B415-62C4C97D7434}" uniqueName="6" name="CATEGORY" queryTableFieldId="6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8C3B-8D6A-42E5-A1AB-5A18EFBAA34F}">
  <dimension ref="A1:P42"/>
  <sheetViews>
    <sheetView tabSelected="1" workbookViewId="0">
      <selection activeCell="P25" sqref="P25"/>
    </sheetView>
  </sheetViews>
  <sheetFormatPr defaultRowHeight="14.4" x14ac:dyDescent="0.3"/>
  <cols>
    <col min="1" max="1" width="14.6640625" bestFit="1" customWidth="1"/>
    <col min="2" max="2" width="23.5546875" style="28" customWidth="1"/>
    <col min="3" max="3" width="10.6640625" customWidth="1"/>
    <col min="4" max="4" width="18.33203125" bestFit="1" customWidth="1"/>
    <col min="5" max="5" width="15" bestFit="1" customWidth="1"/>
    <col min="6" max="6" width="22.33203125" customWidth="1"/>
    <col min="7" max="7" width="10.6640625" style="19" customWidth="1"/>
    <col min="8" max="8" width="12" bestFit="1" customWidth="1"/>
    <col min="9" max="9" width="12" style="19" customWidth="1"/>
    <col min="10" max="10" width="14.44140625" bestFit="1" customWidth="1"/>
    <col min="12" max="12" width="8.21875" customWidth="1"/>
    <col min="13" max="13" width="14.21875" style="30" customWidth="1"/>
    <col min="14" max="14" width="26.44140625" customWidth="1"/>
    <col min="15" max="15" width="48.33203125" customWidth="1"/>
    <col min="16" max="16" width="25.5546875" customWidth="1"/>
  </cols>
  <sheetData>
    <row r="1" spans="1:16" ht="16.2" customHeight="1" x14ac:dyDescent="0.3">
      <c r="A1" s="1" t="s">
        <v>95</v>
      </c>
      <c r="B1" s="23" t="s">
        <v>110</v>
      </c>
      <c r="C1" s="1" t="s">
        <v>101</v>
      </c>
      <c r="D1" s="2" t="s">
        <v>96</v>
      </c>
      <c r="E1" s="2" t="s">
        <v>0</v>
      </c>
      <c r="F1" s="2" t="s">
        <v>113</v>
      </c>
      <c r="G1" s="20" t="s">
        <v>1</v>
      </c>
      <c r="H1" s="2" t="s">
        <v>2</v>
      </c>
      <c r="I1" s="16" t="s">
        <v>99</v>
      </c>
      <c r="J1" s="3" t="s">
        <v>3</v>
      </c>
      <c r="M1" s="10" t="s">
        <v>98</v>
      </c>
      <c r="N1" s="11" t="s">
        <v>97</v>
      </c>
      <c r="O1" s="11" t="s">
        <v>108</v>
      </c>
      <c r="P1" s="11" t="s">
        <v>109</v>
      </c>
    </row>
    <row r="2" spans="1:16" x14ac:dyDescent="0.3">
      <c r="A2" s="4" t="s">
        <v>19</v>
      </c>
      <c r="B2" s="24" t="str">
        <f t="shared" ref="B2:B33" si="0">LEFT(A2,6)</f>
        <v>22-MAY</v>
      </c>
      <c r="C2" s="4" t="str">
        <f>RIGHT(A2,2)</f>
        <v>US</v>
      </c>
      <c r="D2" s="5" t="s">
        <v>20</v>
      </c>
      <c r="E2" s="5" t="s">
        <v>21</v>
      </c>
      <c r="F2" s="5" t="str">
        <f t="shared" ref="F2:F33" si="1">CONCATENATE(D2," ",E2)</f>
        <v>Backpack North Face</v>
      </c>
      <c r="G2" s="21">
        <v>70</v>
      </c>
      <c r="H2" s="5">
        <v>20</v>
      </c>
      <c r="I2" s="17">
        <f>G2*H2</f>
        <v>1400</v>
      </c>
      <c r="J2" s="6" t="s">
        <v>22</v>
      </c>
      <c r="M2" s="5">
        <v>1</v>
      </c>
      <c r="N2" s="13" t="s">
        <v>100</v>
      </c>
      <c r="O2" s="12" t="s">
        <v>119</v>
      </c>
      <c r="P2" s="5">
        <f>COUNTBLANK(G2:G33)</f>
        <v>0</v>
      </c>
    </row>
    <row r="3" spans="1:16" x14ac:dyDescent="0.3">
      <c r="A3" s="4" t="s">
        <v>29</v>
      </c>
      <c r="B3" s="24" t="str">
        <f t="shared" si="0"/>
        <v>23-AUG</v>
      </c>
      <c r="C3" s="4" t="str">
        <f>RIGHT(A3,2)</f>
        <v>UK</v>
      </c>
      <c r="D3" s="5" t="s">
        <v>30</v>
      </c>
      <c r="E3" s="5" t="s">
        <v>31</v>
      </c>
      <c r="F3" s="5" t="str">
        <f t="shared" si="1"/>
        <v>Blender Ninja</v>
      </c>
      <c r="G3" s="21">
        <v>90</v>
      </c>
      <c r="H3" s="5">
        <v>35</v>
      </c>
      <c r="I3" s="17">
        <f>G3*H3</f>
        <v>3150</v>
      </c>
      <c r="J3" s="6" t="s">
        <v>15</v>
      </c>
      <c r="M3" s="5"/>
      <c r="N3" s="13"/>
      <c r="O3" s="12" t="s">
        <v>120</v>
      </c>
      <c r="P3" s="5">
        <f>COUNTBLANK(J2:J33)</f>
        <v>0</v>
      </c>
    </row>
    <row r="4" spans="1:16" x14ac:dyDescent="0.3">
      <c r="A4" s="4" t="s">
        <v>75</v>
      </c>
      <c r="B4" s="24" t="str">
        <f t="shared" si="0"/>
        <v>11-JUL</v>
      </c>
      <c r="C4" s="4" t="str">
        <f>RIGHT(A4,2)</f>
        <v>CA</v>
      </c>
      <c r="D4" s="5" t="s">
        <v>30</v>
      </c>
      <c r="E4" s="5" t="s">
        <v>76</v>
      </c>
      <c r="F4" s="5" t="str">
        <f t="shared" si="1"/>
        <v>Blender Vitamix</v>
      </c>
      <c r="G4" s="21">
        <v>400</v>
      </c>
      <c r="H4" s="5">
        <v>40</v>
      </c>
      <c r="I4" s="17">
        <f>G4*H4</f>
        <v>16000</v>
      </c>
      <c r="J4" s="6" t="s">
        <v>15</v>
      </c>
      <c r="M4" s="5"/>
      <c r="N4" s="13"/>
      <c r="O4" s="12"/>
      <c r="P4" s="5"/>
    </row>
    <row r="5" spans="1:16" x14ac:dyDescent="0.3">
      <c r="A5" s="4" t="s">
        <v>62</v>
      </c>
      <c r="B5" s="24" t="str">
        <f t="shared" si="0"/>
        <v>14-MAY</v>
      </c>
      <c r="C5" s="4" t="str">
        <f>RIGHT(A5,2)</f>
        <v>RU</v>
      </c>
      <c r="D5" s="5" t="s">
        <v>63</v>
      </c>
      <c r="E5" s="5" t="s">
        <v>64</v>
      </c>
      <c r="F5" s="5" t="str">
        <f t="shared" si="1"/>
        <v>Camera Nikon</v>
      </c>
      <c r="G5" s="21">
        <v>700</v>
      </c>
      <c r="H5" s="5">
        <v>50</v>
      </c>
      <c r="I5" s="17">
        <f>G5*H5</f>
        <v>35000</v>
      </c>
      <c r="J5" s="6" t="s">
        <v>7</v>
      </c>
      <c r="M5" s="5">
        <v>2</v>
      </c>
      <c r="N5" s="13" t="s">
        <v>102</v>
      </c>
      <c r="O5" s="12" t="s">
        <v>103</v>
      </c>
      <c r="P5" s="5" t="s">
        <v>104</v>
      </c>
    </row>
    <row r="6" spans="1:16" x14ac:dyDescent="0.3">
      <c r="A6" s="4" t="s">
        <v>59</v>
      </c>
      <c r="B6" s="24" t="str">
        <f t="shared" si="0"/>
        <v>14-AUG</v>
      </c>
      <c r="C6" s="4" t="str">
        <f>RIGHT(A6,2)</f>
        <v>US</v>
      </c>
      <c r="D6" s="5" t="s">
        <v>60</v>
      </c>
      <c r="E6" s="5" t="s">
        <v>61</v>
      </c>
      <c r="F6" s="5" t="str">
        <f t="shared" si="1"/>
        <v>Camping Tent Coleman</v>
      </c>
      <c r="G6" s="21">
        <v>200</v>
      </c>
      <c r="H6" s="5">
        <v>10</v>
      </c>
      <c r="I6" s="17">
        <f>G6*H6</f>
        <v>2000</v>
      </c>
      <c r="J6" s="6" t="s">
        <v>22</v>
      </c>
      <c r="M6" s="5"/>
      <c r="N6" s="13"/>
      <c r="O6" s="12"/>
      <c r="P6" s="5"/>
    </row>
    <row r="7" spans="1:16" x14ac:dyDescent="0.3">
      <c r="A7" s="4" t="s">
        <v>12</v>
      </c>
      <c r="B7" s="24" t="str">
        <f t="shared" si="0"/>
        <v>03-MAR</v>
      </c>
      <c r="C7" s="4" t="str">
        <f>RIGHT(A7,2)</f>
        <v>US</v>
      </c>
      <c r="D7" s="5" t="s">
        <v>13</v>
      </c>
      <c r="E7" s="5" t="s">
        <v>14</v>
      </c>
      <c r="F7" s="5" t="str">
        <f t="shared" si="1"/>
        <v>Coffee Maker Keurig</v>
      </c>
      <c r="G7" s="21">
        <v>130</v>
      </c>
      <c r="H7" s="5">
        <v>40</v>
      </c>
      <c r="I7" s="17">
        <f>G7*H7</f>
        <v>5200</v>
      </c>
      <c r="J7" s="6" t="s">
        <v>15</v>
      </c>
      <c r="M7" s="5">
        <v>3</v>
      </c>
      <c r="N7" s="13" t="s">
        <v>107</v>
      </c>
      <c r="O7" s="12" t="s">
        <v>117</v>
      </c>
      <c r="P7" s="5" t="s">
        <v>105</v>
      </c>
    </row>
    <row r="8" spans="1:16" x14ac:dyDescent="0.3">
      <c r="A8" s="4" t="s">
        <v>41</v>
      </c>
      <c r="B8" s="24" t="str">
        <f t="shared" si="0"/>
        <v>08-DEC</v>
      </c>
      <c r="C8" s="4" t="str">
        <f>RIGHT(A8,2)</f>
        <v>DE</v>
      </c>
      <c r="D8" s="5" t="s">
        <v>13</v>
      </c>
      <c r="E8" s="5" t="s">
        <v>42</v>
      </c>
      <c r="F8" s="5" t="str">
        <f t="shared" si="1"/>
        <v>Coffee Maker Nespresso</v>
      </c>
      <c r="G8" s="21">
        <v>120</v>
      </c>
      <c r="H8" s="5">
        <v>35</v>
      </c>
      <c r="I8" s="17">
        <f>G8*H8</f>
        <v>4200</v>
      </c>
      <c r="J8" s="6" t="s">
        <v>15</v>
      </c>
      <c r="M8" s="5"/>
      <c r="N8" s="12"/>
      <c r="O8" s="13" t="s">
        <v>118</v>
      </c>
      <c r="P8" s="5" t="s">
        <v>106</v>
      </c>
    </row>
    <row r="9" spans="1:16" x14ac:dyDescent="0.3">
      <c r="A9" s="4" t="s">
        <v>77</v>
      </c>
      <c r="B9" s="24" t="str">
        <f t="shared" si="0"/>
        <v>07-MAR</v>
      </c>
      <c r="C9" s="4" t="str">
        <f>RIGHT(A9,2)</f>
        <v>CA</v>
      </c>
      <c r="D9" s="5" t="s">
        <v>78</v>
      </c>
      <c r="E9" s="5" t="s">
        <v>79</v>
      </c>
      <c r="F9" s="5" t="str">
        <f t="shared" si="1"/>
        <v>Dress Zara</v>
      </c>
      <c r="G9" s="21">
        <v>60</v>
      </c>
      <c r="H9" s="5">
        <v>30</v>
      </c>
      <c r="I9" s="17">
        <f>G9*H9</f>
        <v>1800</v>
      </c>
      <c r="J9" s="6" t="s">
        <v>11</v>
      </c>
      <c r="M9" s="29"/>
      <c r="N9" s="14"/>
      <c r="O9" s="14"/>
      <c r="P9" s="14"/>
    </row>
    <row r="10" spans="1:16" x14ac:dyDescent="0.3">
      <c r="A10" s="4" t="s">
        <v>68</v>
      </c>
      <c r="B10" s="24" t="str">
        <f t="shared" si="0"/>
        <v>19-JUL</v>
      </c>
      <c r="C10" s="4" t="str">
        <f>RIGHT(A10,2)</f>
        <v>BR</v>
      </c>
      <c r="D10" s="5" t="s">
        <v>69</v>
      </c>
      <c r="E10" s="5" t="s">
        <v>70</v>
      </c>
      <c r="F10" s="5" t="str">
        <f t="shared" si="1"/>
        <v>Fitness Tracker Xiaomi</v>
      </c>
      <c r="G10" s="21">
        <v>150</v>
      </c>
      <c r="H10" s="5">
        <v>30</v>
      </c>
      <c r="I10" s="17">
        <f>G10*H10</f>
        <v>4500</v>
      </c>
      <c r="J10" s="6" t="s">
        <v>7</v>
      </c>
      <c r="M10" s="29">
        <v>4</v>
      </c>
      <c r="N10" s="15" t="s">
        <v>121</v>
      </c>
      <c r="O10" s="12" t="s">
        <v>111</v>
      </c>
      <c r="P10" s="14" t="s">
        <v>112</v>
      </c>
    </row>
    <row r="11" spans="1:16" x14ac:dyDescent="0.3">
      <c r="A11" s="4" t="s">
        <v>83</v>
      </c>
      <c r="B11" s="24" t="str">
        <f t="shared" si="0"/>
        <v>24-MAY</v>
      </c>
      <c r="C11" s="4" t="str">
        <f>RIGHT(A11,2)</f>
        <v>CA</v>
      </c>
      <c r="D11" s="5" t="s">
        <v>69</v>
      </c>
      <c r="E11" s="5" t="s">
        <v>84</v>
      </c>
      <c r="F11" s="5" t="str">
        <f t="shared" si="1"/>
        <v>Fitness Tracker Garmin</v>
      </c>
      <c r="G11" s="21">
        <v>130</v>
      </c>
      <c r="H11" s="5">
        <v>5</v>
      </c>
      <c r="I11" s="17">
        <f>G11*H11</f>
        <v>650</v>
      </c>
      <c r="J11" s="6" t="s">
        <v>7</v>
      </c>
      <c r="M11" s="29"/>
      <c r="N11" s="15"/>
      <c r="O11" s="14"/>
      <c r="P11" s="14"/>
    </row>
    <row r="12" spans="1:16" x14ac:dyDescent="0.3">
      <c r="A12" s="4" t="s">
        <v>23</v>
      </c>
      <c r="B12" s="24" t="str">
        <f t="shared" si="0"/>
        <v>07-JUN</v>
      </c>
      <c r="C12" s="4" t="str">
        <f>RIGHT(A12,2)</f>
        <v>UK</v>
      </c>
      <c r="D12" s="5" t="s">
        <v>24</v>
      </c>
      <c r="E12" s="5" t="s">
        <v>25</v>
      </c>
      <c r="F12" s="5" t="str">
        <f t="shared" si="1"/>
        <v>Headphones Sony</v>
      </c>
      <c r="G12" s="21">
        <v>200</v>
      </c>
      <c r="H12" s="5">
        <v>45</v>
      </c>
      <c r="I12" s="17">
        <f>G12*H12</f>
        <v>9000</v>
      </c>
      <c r="J12" s="6" t="s">
        <v>7</v>
      </c>
      <c r="M12" s="29"/>
      <c r="N12" s="15" t="s">
        <v>122</v>
      </c>
      <c r="O12" s="14" t="s">
        <v>114</v>
      </c>
      <c r="P12" s="14" t="s">
        <v>115</v>
      </c>
    </row>
    <row r="13" spans="1:16" x14ac:dyDescent="0.3">
      <c r="A13" s="4" t="s">
        <v>46</v>
      </c>
      <c r="B13" s="24" t="str">
        <f t="shared" si="0"/>
        <v>16-APR</v>
      </c>
      <c r="C13" s="4" t="str">
        <f>RIGHT(A13,2)</f>
        <v>ES</v>
      </c>
      <c r="D13" s="5" t="s">
        <v>24</v>
      </c>
      <c r="E13" s="5" t="s">
        <v>47</v>
      </c>
      <c r="F13" s="5" t="str">
        <f t="shared" si="1"/>
        <v>Headphones Bose</v>
      </c>
      <c r="G13" s="21">
        <v>250</v>
      </c>
      <c r="H13" s="5">
        <v>20</v>
      </c>
      <c r="I13" s="17">
        <f>G13*H13</f>
        <v>5000</v>
      </c>
      <c r="J13" s="6" t="s">
        <v>7</v>
      </c>
      <c r="M13" s="29"/>
      <c r="N13" s="14"/>
      <c r="O13" s="14"/>
      <c r="P13" s="14"/>
    </row>
    <row r="14" spans="1:16" x14ac:dyDescent="0.3">
      <c r="A14" s="4" t="s">
        <v>46</v>
      </c>
      <c r="B14" s="24" t="str">
        <f t="shared" si="0"/>
        <v>16-APR</v>
      </c>
      <c r="C14" s="4" t="str">
        <f>RIGHT(A14,2)</f>
        <v>ES</v>
      </c>
      <c r="D14" s="5" t="s">
        <v>24</v>
      </c>
      <c r="E14" s="5" t="s">
        <v>47</v>
      </c>
      <c r="F14" s="5" t="str">
        <f t="shared" si="1"/>
        <v>Headphones Bose</v>
      </c>
      <c r="G14" s="21">
        <v>230</v>
      </c>
      <c r="H14" s="5">
        <v>20</v>
      </c>
      <c r="I14" s="17">
        <f>G14*H14</f>
        <v>4600</v>
      </c>
      <c r="J14" s="6" t="s">
        <v>7</v>
      </c>
      <c r="M14" s="29">
        <v>5</v>
      </c>
      <c r="N14" s="15" t="s">
        <v>116</v>
      </c>
      <c r="O14" s="14" t="s">
        <v>123</v>
      </c>
      <c r="P14" s="14"/>
    </row>
    <row r="15" spans="1:16" x14ac:dyDescent="0.3">
      <c r="A15" s="4" t="s">
        <v>35</v>
      </c>
      <c r="B15" s="24" t="str">
        <f t="shared" si="0"/>
        <v>14-OCT</v>
      </c>
      <c r="C15" s="4" t="str">
        <f>RIGHT(A15,2)</f>
        <v>UK</v>
      </c>
      <c r="D15" s="5" t="s">
        <v>36</v>
      </c>
      <c r="E15" s="5" t="s">
        <v>37</v>
      </c>
      <c r="F15" s="5" t="str">
        <f t="shared" si="1"/>
        <v>Hiking Boots Timberland</v>
      </c>
      <c r="G15" s="21">
        <v>130</v>
      </c>
      <c r="H15" s="5">
        <v>10</v>
      </c>
      <c r="I15" s="17">
        <f>G15*H15</f>
        <v>1300</v>
      </c>
      <c r="J15" s="6" t="s">
        <v>22</v>
      </c>
      <c r="M15" s="29"/>
      <c r="N15" s="15"/>
      <c r="O15" s="14" t="s">
        <v>124</v>
      </c>
      <c r="P15" s="14"/>
    </row>
    <row r="16" spans="1:16" x14ac:dyDescent="0.3">
      <c r="A16" s="4" t="s">
        <v>85</v>
      </c>
      <c r="B16" s="24" t="str">
        <f t="shared" si="0"/>
        <v>02-DEC</v>
      </c>
      <c r="C16" s="4" t="str">
        <f>RIGHT(A16,2)</f>
        <v>CA</v>
      </c>
      <c r="D16" s="5" t="s">
        <v>86</v>
      </c>
      <c r="E16" s="5" t="s">
        <v>87</v>
      </c>
      <c r="F16" s="5" t="str">
        <f t="shared" si="1"/>
        <v>Jeans Levi'S</v>
      </c>
      <c r="G16" s="21">
        <v>50</v>
      </c>
      <c r="H16" s="5">
        <v>50</v>
      </c>
      <c r="I16" s="17">
        <f>G16*H16</f>
        <v>2500</v>
      </c>
      <c r="J16" s="6" t="s">
        <v>11</v>
      </c>
      <c r="M16" s="29"/>
      <c r="N16" s="15"/>
      <c r="O16" s="14"/>
      <c r="P16" s="14"/>
    </row>
    <row r="17" spans="1:16" x14ac:dyDescent="0.3">
      <c r="A17" s="4" t="s">
        <v>4</v>
      </c>
      <c r="B17" s="24" t="str">
        <f t="shared" si="0"/>
        <v>28-JAN</v>
      </c>
      <c r="C17" s="4" t="str">
        <f>RIGHT(A17,2)</f>
        <v>US</v>
      </c>
      <c r="D17" s="5" t="s">
        <v>5</v>
      </c>
      <c r="E17" s="5" t="s">
        <v>6</v>
      </c>
      <c r="F17" s="5" t="str">
        <f t="shared" si="1"/>
        <v>Laptop Dell</v>
      </c>
      <c r="G17" s="21">
        <v>1000</v>
      </c>
      <c r="H17" s="5">
        <v>30</v>
      </c>
      <c r="I17" s="17">
        <f>G17*H17</f>
        <v>30000</v>
      </c>
      <c r="J17" s="6" t="s">
        <v>7</v>
      </c>
      <c r="M17" s="29">
        <v>6</v>
      </c>
      <c r="N17" s="15" t="s">
        <v>125</v>
      </c>
      <c r="O17" s="14" t="s">
        <v>126</v>
      </c>
      <c r="P17" s="14"/>
    </row>
    <row r="18" spans="1:16" x14ac:dyDescent="0.3">
      <c r="A18" s="4" t="s">
        <v>38</v>
      </c>
      <c r="B18" s="24" t="str">
        <f t="shared" si="0"/>
        <v>17-JUN</v>
      </c>
      <c r="C18" s="4" t="str">
        <f>RIGHT(A18,2)</f>
        <v>IN</v>
      </c>
      <c r="D18" s="5" t="s">
        <v>5</v>
      </c>
      <c r="E18" s="5" t="s">
        <v>39</v>
      </c>
      <c r="F18" s="5" t="str">
        <f t="shared" si="1"/>
        <v>Laptop Hp</v>
      </c>
      <c r="G18" s="21">
        <v>950</v>
      </c>
      <c r="H18" s="5">
        <v>25</v>
      </c>
      <c r="I18" s="17">
        <f>G18*H18</f>
        <v>23750</v>
      </c>
      <c r="J18" s="6" t="s">
        <v>7</v>
      </c>
      <c r="M18" s="29"/>
      <c r="N18" s="15"/>
      <c r="O18" s="14" t="s">
        <v>127</v>
      </c>
      <c r="P18" s="14"/>
    </row>
    <row r="19" spans="1:16" x14ac:dyDescent="0.3">
      <c r="A19" s="4" t="s">
        <v>54</v>
      </c>
      <c r="B19" s="24" t="str">
        <f t="shared" si="0"/>
        <v>27-JAN</v>
      </c>
      <c r="C19" s="4" t="str">
        <f>RIGHT(A19,2)</f>
        <v>IT</v>
      </c>
      <c r="D19" s="5" t="s">
        <v>5</v>
      </c>
      <c r="E19" s="5" t="s">
        <v>55</v>
      </c>
      <c r="F19" s="5" t="str">
        <f t="shared" si="1"/>
        <v>Laptop Asus</v>
      </c>
      <c r="G19" s="21">
        <v>980</v>
      </c>
      <c r="H19" s="5">
        <v>10</v>
      </c>
      <c r="I19" s="17">
        <f>G19*H19</f>
        <v>9800</v>
      </c>
      <c r="J19" s="6" t="s">
        <v>7</v>
      </c>
      <c r="M19" s="29"/>
      <c r="N19" s="15"/>
      <c r="O19" s="14"/>
      <c r="P19" s="14"/>
    </row>
    <row r="20" spans="1:16" x14ac:dyDescent="0.3">
      <c r="A20" s="4" t="s">
        <v>48</v>
      </c>
      <c r="B20" s="24" t="str">
        <f t="shared" si="0"/>
        <v>21-AUG</v>
      </c>
      <c r="C20" s="4" t="str">
        <f>RIGHT(A20,2)</f>
        <v>CA</v>
      </c>
      <c r="D20" s="5" t="s">
        <v>49</v>
      </c>
      <c r="E20" s="5" t="s">
        <v>50</v>
      </c>
      <c r="F20" s="5" t="str">
        <f t="shared" si="1"/>
        <v>Laptop Bag Samsonite</v>
      </c>
      <c r="G20" s="21">
        <v>50</v>
      </c>
      <c r="H20" s="5">
        <v>35</v>
      </c>
      <c r="I20" s="17">
        <f>G20*H20</f>
        <v>1750</v>
      </c>
      <c r="J20" s="6" t="s">
        <v>51</v>
      </c>
      <c r="M20" s="29"/>
      <c r="N20" s="15"/>
      <c r="O20" s="14"/>
      <c r="P20" s="14"/>
    </row>
    <row r="21" spans="1:16" x14ac:dyDescent="0.3">
      <c r="A21" s="4" t="s">
        <v>65</v>
      </c>
      <c r="B21" s="24" t="str">
        <f t="shared" si="0"/>
        <v>09-JAN</v>
      </c>
      <c r="C21" s="4" t="str">
        <f>RIGHT(A21,2)</f>
        <v>CA</v>
      </c>
      <c r="D21" s="5" t="s">
        <v>66</v>
      </c>
      <c r="E21" s="5" t="s">
        <v>67</v>
      </c>
      <c r="F21" s="5" t="str">
        <f t="shared" si="1"/>
        <v>Microwave Panasonic</v>
      </c>
      <c r="G21" s="21">
        <v>80</v>
      </c>
      <c r="H21" s="5">
        <v>20</v>
      </c>
      <c r="I21" s="17">
        <f>G21*H21</f>
        <v>1600</v>
      </c>
      <c r="J21" s="6" t="s">
        <v>15</v>
      </c>
      <c r="M21" s="29"/>
      <c r="N21" s="15"/>
      <c r="O21" s="14"/>
      <c r="P21" s="14"/>
    </row>
    <row r="22" spans="1:16" x14ac:dyDescent="0.3">
      <c r="A22" s="4" t="s">
        <v>16</v>
      </c>
      <c r="B22" s="24" t="str">
        <f t="shared" si="0"/>
        <v>11-APR</v>
      </c>
      <c r="C22" s="4" t="str">
        <f>RIGHT(A22,2)</f>
        <v>US</v>
      </c>
      <c r="D22" s="5" t="s">
        <v>17</v>
      </c>
      <c r="E22" s="5" t="s">
        <v>18</v>
      </c>
      <c r="F22" s="5" t="str">
        <f t="shared" si="1"/>
        <v>Smartphone Samsung</v>
      </c>
      <c r="G22" s="21">
        <v>900</v>
      </c>
      <c r="H22" s="5">
        <v>25</v>
      </c>
      <c r="I22" s="17">
        <f>G22*H22</f>
        <v>22500</v>
      </c>
      <c r="J22" s="6" t="s">
        <v>7</v>
      </c>
      <c r="M22" s="29">
        <v>7</v>
      </c>
      <c r="N22" s="13" t="s">
        <v>92</v>
      </c>
      <c r="O22" s="14" t="s">
        <v>128</v>
      </c>
      <c r="P22" s="14"/>
    </row>
    <row r="23" spans="1:16" x14ac:dyDescent="0.3">
      <c r="A23" s="4" t="s">
        <v>71</v>
      </c>
      <c r="B23" s="24" t="str">
        <f t="shared" si="0"/>
        <v>29-SEP</v>
      </c>
      <c r="C23" s="4" t="str">
        <f>RIGHT(A23,2)</f>
        <v>CA</v>
      </c>
      <c r="D23" s="5" t="s">
        <v>17</v>
      </c>
      <c r="E23" s="5" t="s">
        <v>72</v>
      </c>
      <c r="F23" s="5" t="str">
        <f t="shared" si="1"/>
        <v>Smartphone Google</v>
      </c>
      <c r="G23" s="21">
        <v>800</v>
      </c>
      <c r="H23" s="5">
        <v>45</v>
      </c>
      <c r="I23" s="17">
        <f>G23*H23</f>
        <v>36000</v>
      </c>
      <c r="J23" s="6" t="s">
        <v>7</v>
      </c>
      <c r="M23" s="29">
        <v>8</v>
      </c>
      <c r="N23" s="13" t="s">
        <v>93</v>
      </c>
      <c r="O23" s="14" t="s">
        <v>128</v>
      </c>
      <c r="P23" s="14"/>
    </row>
    <row r="24" spans="1:16" x14ac:dyDescent="0.3">
      <c r="A24" s="4" t="s">
        <v>43</v>
      </c>
      <c r="B24" s="24" t="str">
        <f t="shared" si="0"/>
        <v>18-FEB</v>
      </c>
      <c r="C24" s="4" t="str">
        <f>RIGHT(A24,2)</f>
        <v>CA</v>
      </c>
      <c r="D24" s="5" t="s">
        <v>44</v>
      </c>
      <c r="E24" s="5" t="s">
        <v>45</v>
      </c>
      <c r="F24" s="5" t="str">
        <f t="shared" si="1"/>
        <v>Smartwatch Fitbit</v>
      </c>
      <c r="G24" s="21">
        <v>150</v>
      </c>
      <c r="H24" s="5">
        <v>15</v>
      </c>
      <c r="I24" s="17">
        <f>G24*H24</f>
        <v>2250</v>
      </c>
      <c r="J24" s="6" t="s">
        <v>7</v>
      </c>
      <c r="M24" s="29">
        <v>9</v>
      </c>
      <c r="N24" s="13" t="s">
        <v>94</v>
      </c>
      <c r="O24" s="14" t="s">
        <v>128</v>
      </c>
      <c r="P24" s="14"/>
    </row>
    <row r="25" spans="1:16" x14ac:dyDescent="0.3">
      <c r="A25" s="4" t="s">
        <v>52</v>
      </c>
      <c r="B25" s="24" t="str">
        <f t="shared" si="0"/>
        <v>20-AUG</v>
      </c>
      <c r="C25" s="4" t="str">
        <f>RIGHT(A25,2)</f>
        <v>CN</v>
      </c>
      <c r="D25" s="5" t="s">
        <v>44</v>
      </c>
      <c r="E25" s="5" t="s">
        <v>53</v>
      </c>
      <c r="F25" s="5" t="str">
        <f t="shared" si="1"/>
        <v>Smartwatch Huawei</v>
      </c>
      <c r="G25" s="21">
        <v>160</v>
      </c>
      <c r="H25" s="5">
        <v>15</v>
      </c>
      <c r="I25" s="17">
        <f>G25*H25</f>
        <v>2400</v>
      </c>
      <c r="J25" s="6" t="s">
        <v>7</v>
      </c>
    </row>
    <row r="26" spans="1:16" x14ac:dyDescent="0.3">
      <c r="A26" s="4" t="s">
        <v>8</v>
      </c>
      <c r="B26" s="24" t="str">
        <f t="shared" si="0"/>
        <v>15-FEB</v>
      </c>
      <c r="C26" s="4" t="str">
        <f>RIGHT(A26,2)</f>
        <v>US</v>
      </c>
      <c r="D26" s="5" t="s">
        <v>9</v>
      </c>
      <c r="E26" s="5" t="s">
        <v>10</v>
      </c>
      <c r="F26" s="5" t="str">
        <f t="shared" si="1"/>
        <v>Sneakers Nike</v>
      </c>
      <c r="G26" s="21">
        <v>80</v>
      </c>
      <c r="H26" s="5">
        <v>15</v>
      </c>
      <c r="I26" s="17">
        <f>G26*H26</f>
        <v>1200</v>
      </c>
      <c r="J26" s="6" t="s">
        <v>11</v>
      </c>
    </row>
    <row r="27" spans="1:16" x14ac:dyDescent="0.3">
      <c r="A27" s="4" t="s">
        <v>40</v>
      </c>
      <c r="B27" s="24" t="str">
        <f t="shared" si="0"/>
        <v>25-NOV</v>
      </c>
      <c r="C27" s="4" t="str">
        <f>RIGHT(A27,2)</f>
        <v>AU</v>
      </c>
      <c r="D27" s="5" t="s">
        <v>9</v>
      </c>
      <c r="E27" s="5" t="s">
        <v>28</v>
      </c>
      <c r="F27" s="5" t="str">
        <f t="shared" si="1"/>
        <v>Sneakers Adidas</v>
      </c>
      <c r="G27" s="21">
        <v>90</v>
      </c>
      <c r="H27" s="5">
        <v>40</v>
      </c>
      <c r="I27" s="17">
        <f>G27*H27</f>
        <v>3600</v>
      </c>
      <c r="J27" s="6" t="s">
        <v>11</v>
      </c>
    </row>
    <row r="28" spans="1:16" x14ac:dyDescent="0.3">
      <c r="A28" s="4" t="s">
        <v>56</v>
      </c>
      <c r="B28" s="24" t="str">
        <f t="shared" si="0"/>
        <v>01-MAR</v>
      </c>
      <c r="C28" s="4" t="str">
        <f>RIGHT(A28,2)</f>
        <v>UK</v>
      </c>
      <c r="D28" s="5" t="s">
        <v>57</v>
      </c>
      <c r="E28" s="5" t="s">
        <v>58</v>
      </c>
      <c r="F28" s="5" t="str">
        <f t="shared" si="1"/>
        <v>Sunglasses Oakley</v>
      </c>
      <c r="G28" s="21">
        <v>150</v>
      </c>
      <c r="H28" s="5">
        <v>15</v>
      </c>
      <c r="I28" s="17">
        <f>G28*H28</f>
        <v>2250</v>
      </c>
      <c r="J28" s="6" t="s">
        <v>11</v>
      </c>
    </row>
    <row r="29" spans="1:16" x14ac:dyDescent="0.3">
      <c r="A29" s="4" t="s">
        <v>73</v>
      </c>
      <c r="B29" s="24" t="str">
        <f t="shared" si="0"/>
        <v>03-JUN</v>
      </c>
      <c r="C29" s="4" t="str">
        <f>RIGHT(A29,2)</f>
        <v>CA</v>
      </c>
      <c r="D29" s="5" t="s">
        <v>57</v>
      </c>
      <c r="E29" s="5" t="s">
        <v>74</v>
      </c>
      <c r="F29" s="5" t="str">
        <f t="shared" si="1"/>
        <v>Sunglasses Ray-Ban</v>
      </c>
      <c r="G29" s="21">
        <v>130</v>
      </c>
      <c r="H29" s="5">
        <v>25</v>
      </c>
      <c r="I29" s="17">
        <f>G29*H29</f>
        <v>3250</v>
      </c>
      <c r="J29" s="6" t="s">
        <v>11</v>
      </c>
    </row>
    <row r="30" spans="1:16" x14ac:dyDescent="0.3">
      <c r="A30" s="4" t="s">
        <v>32</v>
      </c>
      <c r="B30" s="24" t="str">
        <f t="shared" si="0"/>
        <v>05-SEP</v>
      </c>
      <c r="C30" s="4" t="str">
        <f>RIGHT(A30,2)</f>
        <v>UK</v>
      </c>
      <c r="D30" s="5" t="s">
        <v>33</v>
      </c>
      <c r="E30" s="5" t="s">
        <v>34</v>
      </c>
      <c r="F30" s="5" t="str">
        <f t="shared" si="1"/>
        <v>Tablet Apple</v>
      </c>
      <c r="G30" s="21">
        <v>500</v>
      </c>
      <c r="H30" s="5">
        <v>50</v>
      </c>
      <c r="I30" s="17">
        <f>G30*H30</f>
        <v>25000</v>
      </c>
      <c r="J30" s="6" t="s">
        <v>7</v>
      </c>
    </row>
    <row r="31" spans="1:16" x14ac:dyDescent="0.3">
      <c r="A31" s="4" t="s">
        <v>80</v>
      </c>
      <c r="B31" s="24" t="str">
        <f t="shared" si="0"/>
        <v>13-APR</v>
      </c>
      <c r="C31" s="4" t="str">
        <f>RIGHT(A31,2)</f>
        <v>CA</v>
      </c>
      <c r="D31" s="5" t="s">
        <v>81</v>
      </c>
      <c r="E31" s="5" t="s">
        <v>82</v>
      </c>
      <c r="F31" s="5" t="str">
        <f t="shared" si="1"/>
        <v>Toaster Hamilton</v>
      </c>
      <c r="G31" s="21">
        <v>40</v>
      </c>
      <c r="H31" s="5">
        <v>10</v>
      </c>
      <c r="I31" s="17">
        <f>G31*H31</f>
        <v>400</v>
      </c>
      <c r="J31" s="6" t="s">
        <v>15</v>
      </c>
    </row>
    <row r="32" spans="1:16" x14ac:dyDescent="0.3">
      <c r="A32" s="4" t="s">
        <v>26</v>
      </c>
      <c r="B32" s="24" t="str">
        <f t="shared" si="0"/>
        <v>19-JUL</v>
      </c>
      <c r="C32" s="4" t="str">
        <f>RIGHT(A32,2)</f>
        <v>UK</v>
      </c>
      <c r="D32" s="5" t="s">
        <v>27</v>
      </c>
      <c r="E32" s="5" t="s">
        <v>28</v>
      </c>
      <c r="F32" s="5" t="str">
        <f t="shared" si="1"/>
        <v>T-Shirt Adidas</v>
      </c>
      <c r="G32" s="21">
        <v>30</v>
      </c>
      <c r="H32" s="5">
        <v>5</v>
      </c>
      <c r="I32" s="17">
        <f>G32*H32</f>
        <v>150</v>
      </c>
      <c r="J32" s="6" t="s">
        <v>11</v>
      </c>
    </row>
    <row r="33" spans="1:10" x14ac:dyDescent="0.3">
      <c r="A33" s="7" t="s">
        <v>88</v>
      </c>
      <c r="B33" s="25" t="str">
        <f t="shared" si="0"/>
        <v>09-JUL</v>
      </c>
      <c r="C33" s="7" t="str">
        <f>RIGHT(A33,2)</f>
        <v>FR</v>
      </c>
      <c r="D33" s="8" t="s">
        <v>89</v>
      </c>
      <c r="E33" s="8" t="s">
        <v>90</v>
      </c>
      <c r="F33" s="8" t="str">
        <f t="shared" si="1"/>
        <v>Watch Casio</v>
      </c>
      <c r="G33" s="22">
        <v>100</v>
      </c>
      <c r="H33" s="8">
        <v>20</v>
      </c>
      <c r="I33" s="18">
        <f>G33*H33</f>
        <v>2000</v>
      </c>
      <c r="J33" s="9" t="s">
        <v>51</v>
      </c>
    </row>
    <row r="39" spans="1:10" x14ac:dyDescent="0.3">
      <c r="A39" s="11" t="s">
        <v>91</v>
      </c>
      <c r="B39" s="26"/>
      <c r="C39" s="11"/>
    </row>
    <row r="40" spans="1:10" x14ac:dyDescent="0.3">
      <c r="A40" s="12">
        <v>1</v>
      </c>
      <c r="B40" s="27"/>
      <c r="C40" s="12"/>
    </row>
    <row r="41" spans="1:10" x14ac:dyDescent="0.3">
      <c r="A41" s="12">
        <v>2</v>
      </c>
      <c r="B41" s="27"/>
      <c r="C41" s="12"/>
    </row>
    <row r="42" spans="1:10" x14ac:dyDescent="0.3">
      <c r="A42" s="12">
        <v>3</v>
      </c>
      <c r="B42" s="27"/>
      <c r="C42" s="12"/>
    </row>
  </sheetData>
  <conditionalFormatting sqref="I1:I104857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{17792BFD-F617-4BF4-9E47-BF3DD4162BFF}</x14:id>
        </ext>
      </extLst>
    </cfRule>
  </conditionalFormatting>
  <conditionalFormatting sqref="J1:J1048576">
    <cfRule type="cellIs" dxfId="1" priority="1" operator="equal">
      <formula>"ELECTRONICS"</formula>
    </cfRule>
    <cfRule type="cellIs" priority="2" operator="equal">
      <formula>"ELECTRONICS"</formula>
    </cfRule>
  </conditionalFormatting>
  <conditionalFormatting sqref="D1:D38 D43:D1048576 N22:N24">
    <cfRule type="duplicateValues" dxfId="0" priority="5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792BFD-F617-4BF4-9E47-BF3DD4162B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9CF8-0B4B-4EC4-A4FC-8369D12B39C3}">
  <dimension ref="A1"/>
  <sheetViews>
    <sheetView workbookViewId="0">
      <selection activeCell="N11" sqref="N1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E0C21-C897-4534-8CD5-756E4B123F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prasanna1997balaji@gmail.com</dc:creator>
  <cp:lastModifiedBy>prasanna1997balaji@gmail.com</cp:lastModifiedBy>
  <dcterms:created xsi:type="dcterms:W3CDTF">2026-05-01T05:14:42Z</dcterms:created>
  <dcterms:modified xsi:type="dcterms:W3CDTF">2026-05-01T08:32:11Z</dcterms:modified>
</cp:coreProperties>
</file>